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0\Desktop\Pari_DA_17\"/>
    </mc:Choice>
  </mc:AlternateContent>
  <xr:revisionPtr revIDLastSave="0" documentId="13_ncr:1_{2FDC2D9F-9197-4578-8762-27C1C07EADD4}" xr6:coauthVersionLast="47" xr6:coauthVersionMax="47" xr10:uidLastSave="{00000000-0000-0000-0000-000000000000}"/>
  <bookViews>
    <workbookView xWindow="-110" yWindow="-110" windowWidth="19420" windowHeight="10300" firstSheet="8" activeTab="13" xr2:uid="{8BB51AA0-0E48-44F1-AB05-E7A2B780482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7" sheetId="7" r:id="rId6"/>
    <sheet name="Sheet6" sheetId="6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5" l="1"/>
  <c r="J4" i="15"/>
  <c r="N12" i="14"/>
  <c r="N8" i="14"/>
  <c r="K12" i="14"/>
  <c r="N4" i="14"/>
  <c r="K8" i="14"/>
  <c r="K4" i="14"/>
  <c r="B2" i="16"/>
  <c r="C2" i="16" s="1"/>
  <c r="D3" i="3"/>
  <c r="D4" i="3"/>
  <c r="D5" i="3"/>
  <c r="D6" i="3"/>
  <c r="D3" i="13"/>
  <c r="D4" i="13"/>
  <c r="D5" i="13"/>
  <c r="D2" i="13"/>
  <c r="C3" i="12"/>
  <c r="C4" i="12"/>
  <c r="C5" i="12"/>
  <c r="C2" i="12"/>
  <c r="C3" i="11"/>
  <c r="C4" i="11"/>
  <c r="C5" i="11"/>
  <c r="C2" i="11"/>
  <c r="D3" i="10"/>
  <c r="D4" i="10"/>
  <c r="D5" i="10"/>
  <c r="D2" i="10"/>
  <c r="D3" i="9"/>
  <c r="D4" i="9"/>
  <c r="D5" i="9"/>
  <c r="D2" i="9"/>
  <c r="D3" i="8"/>
  <c r="D4" i="8"/>
  <c r="D5" i="8"/>
  <c r="D2" i="8"/>
  <c r="D3" i="7"/>
  <c r="D4" i="7"/>
  <c r="D5" i="7"/>
  <c r="D2" i="7"/>
  <c r="C3" i="6"/>
  <c r="C4" i="6"/>
  <c r="C5" i="6"/>
  <c r="C6" i="6"/>
  <c r="C2" i="6"/>
  <c r="C3" i="5"/>
  <c r="C4" i="5"/>
  <c r="C5" i="5"/>
  <c r="C2" i="5"/>
  <c r="D3" i="4"/>
  <c r="D4" i="4"/>
  <c r="D5" i="4"/>
  <c r="D6" i="4"/>
  <c r="D2" i="4"/>
  <c r="D2" i="3"/>
  <c r="C3" i="2"/>
  <c r="C4" i="2"/>
  <c r="C5" i="2"/>
  <c r="C6" i="2"/>
  <c r="C2" i="2"/>
  <c r="F3" i="2"/>
  <c r="F4" i="2"/>
  <c r="F5" i="2"/>
  <c r="F6" i="2"/>
  <c r="F2" i="2"/>
  <c r="E3" i="2"/>
  <c r="E4" i="2"/>
  <c r="E5" i="2"/>
  <c r="E6" i="2"/>
  <c r="E2" i="2"/>
  <c r="D3" i="2"/>
  <c r="D4" i="2"/>
  <c r="D5" i="2"/>
  <c r="D6" i="2"/>
  <c r="D2" i="2"/>
  <c r="B3" i="2"/>
  <c r="B4" i="2"/>
  <c r="B5" i="2"/>
  <c r="B6" i="2"/>
  <c r="B2" i="2"/>
</calcChain>
</file>

<file path=xl/sharedStrings.xml><?xml version="1.0" encoding="utf-8"?>
<sst xmlns="http://schemas.openxmlformats.org/spreadsheetml/2006/main" count="242" uniqueCount="132">
  <si>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</si>
  <si>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</si>
  <si>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</si>
  <si>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</si>
  <si>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</si>
  <si>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</si>
  <si>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</si>
  <si>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</si>
  <si>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</si>
  <si>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</si>
  <si>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</si>
  <si>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</si>
  <si>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</si>
  <si>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</si>
  <si>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</si>
  <si>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</si>
  <si>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</si>
  <si>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Laptop Dell Inspiron 16</t>
  </si>
  <si>
    <t>Laptop Dell Inspiron 17</t>
  </si>
  <si>
    <t>Laptop Dell Inspiron 18</t>
  </si>
  <si>
    <t>Laptop Dell Inspiron 19</t>
  </si>
  <si>
    <t>Prachi</t>
  </si>
  <si>
    <t>Pari</t>
  </si>
  <si>
    <t>Aisha</t>
  </si>
  <si>
    <t>Suhani</t>
  </si>
  <si>
    <t>Jeel</t>
  </si>
  <si>
    <t>Sakshi</t>
  </si>
  <si>
    <t>Priya</t>
  </si>
  <si>
    <t>Raj</t>
  </si>
  <si>
    <t>Mohan</t>
  </si>
  <si>
    <t>Shivam</t>
  </si>
  <si>
    <t>Pray</t>
  </si>
  <si>
    <t>Yash</t>
  </si>
  <si>
    <t>Abhishek</t>
  </si>
  <si>
    <t>Veera</t>
  </si>
  <si>
    <t>Meet</t>
  </si>
  <si>
    <t>Employee Code</t>
  </si>
  <si>
    <t>EMP-102567</t>
  </si>
  <si>
    <t>EMP-2045</t>
  </si>
  <si>
    <t>EMP-3098</t>
  </si>
  <si>
    <t>EMP-4512</t>
  </si>
  <si>
    <t>EMP-5679</t>
  </si>
  <si>
    <t>Faculty Name</t>
  </si>
  <si>
    <t>Class Conducted</t>
  </si>
  <si>
    <t xml:space="preserve">Attendance % </t>
  </si>
  <si>
    <t>Performance</t>
  </si>
  <si>
    <t>Rajesh</t>
  </si>
  <si>
    <t>Sunita</t>
  </si>
  <si>
    <t>Manoj</t>
  </si>
  <si>
    <t>Anil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</si>
  <si>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</si>
  <si>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</si>
  <si>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</si>
  <si>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</si>
  <si>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</si>
  <si>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</si>
  <si>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</si>
  <si>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</si>
  <si>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</si>
  <si>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</si>
  <si>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</si>
  <si>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</si>
  <si>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</si>
  <si>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</si>
  <si>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</si>
  <si>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</si>
  <si>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</si>
  <si>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</si>
  <si>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</si>
  <si>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</si>
  <si>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</si>
  <si>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</si>
  <si>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</si>
  <si>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</si>
  <si>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</si>
  <si>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</si>
  <si>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</si>
  <si>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</si>
  <si>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</si>
  <si>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</si>
  <si>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</si>
  <si>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</si>
  <si>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</si>
  <si>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</si>
  <si>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</si>
  <si>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</si>
  <si>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</si>
  <si>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</si>
  <si>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</si>
  <si>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</si>
  <si>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EmployeeID</t>
  </si>
  <si>
    <t>Department</t>
  </si>
  <si>
    <t>Location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</si>
  <si>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</si>
  <si>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</si>
  <si>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</si>
  <si>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</si>
  <si>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</si>
  <si>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</si>
  <si>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</si>
  <si>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</si>
  <si>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</si>
  <si>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</si>
  <si>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</si>
  <si>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</si>
  <si>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</si>
  <si>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</si>
  <si>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</si>
  <si>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</si>
  <si>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</si>
  <si>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</si>
  <si>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</si>
  <si>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</si>
  <si>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</si>
  <si>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</si>
  <si>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</si>
  <si>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</si>
  <si>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</si>
  <si>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</si>
  <si>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</si>
  <si>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</si>
  <si>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</si>
  <si>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Task-2</t>
  </si>
  <si>
    <t xml:space="preserve">Task-1 </t>
  </si>
  <si>
    <t>Task-3</t>
  </si>
  <si>
    <t>Task-4</t>
  </si>
  <si>
    <t>Task-5</t>
  </si>
  <si>
    <t>E109</t>
  </si>
  <si>
    <t>Task-6</t>
  </si>
  <si>
    <t>Task-7</t>
  </si>
  <si>
    <t>Task-8</t>
  </si>
  <si>
    <t>Task-9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</si>
</sst>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164" fontId="2" fillId="0" borderId="0" xfId="0" applyNumberFormat="1" applyFont="1" applyAlignment="1">
      <alignment vertical="center" wrapText="1"/>
    </xf>
    <xf numFmtId="164" fontId="4" fillId="0" borderId="0" xfId="0" applyNumberFormat="1" applyFont="1"/>
    <xf numFmtId="0" fontId="0" fillId="4" borderId="0" xfId="0" applyFill="1"/>
    <xf numFmtId="0" fontId="0" fillId="2" borderId="0" xfId="0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right" vertical="center" wrapText="1"/>
    </xf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D614D02-AB18-4F1C-891C-F6BA477FE3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1A6E-284C-4F2B-BD14-582475DB85A3}">
  <dimension ref="A1:D23"/>
  <sheetViews>
    <sheetView workbookViewId="0">
      <selection activeCell="B4" sqref="B4"/>
    </sheetView>
  </sheetViews>
  <sheetFormatPr defaultRowHeight="14.5" x14ac:dyDescent="0.35"/>
  <sheetData>
    <row r="1" spans="1:4" x14ac:dyDescent="0.35">
      <c r="A1" s="31" t="s">
        <v>16</v>
      </c>
      <c r="B1" s="31"/>
      <c r="C1" s="31"/>
      <c r="D1" s="31"/>
    </row>
    <row r="2" spans="1:4" ht="23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23" x14ac:dyDescent="0.35">
      <c r="A3" s="2" t="s">
        <v>4</v>
      </c>
      <c r="B3" s="2" t="s">
        <v>5</v>
      </c>
      <c r="C3" s="6">
        <v>45000</v>
      </c>
      <c r="D3" s="4" t="s">
        <v>6</v>
      </c>
    </row>
    <row r="4" spans="1:4" ht="23" x14ac:dyDescent="0.35">
      <c r="A4" s="3" t="s">
        <v>7</v>
      </c>
      <c r="B4" s="3" t="s">
        <v>8</v>
      </c>
      <c r="C4" s="6">
        <v>1200</v>
      </c>
      <c r="D4" s="4" t="s">
        <v>9</v>
      </c>
    </row>
    <row r="5" spans="1:4" ht="34.5" x14ac:dyDescent="0.35">
      <c r="A5" s="2" t="s">
        <v>10</v>
      </c>
      <c r="B5" s="2" t="s">
        <v>11</v>
      </c>
      <c r="C5" s="6">
        <v>18000</v>
      </c>
      <c r="D5" s="4" t="s">
        <v>12</v>
      </c>
    </row>
    <row r="6" spans="1:4" ht="34.5" x14ac:dyDescent="0.35">
      <c r="A6" s="3" t="s">
        <v>13</v>
      </c>
      <c r="B6" s="3" t="s">
        <v>14</v>
      </c>
      <c r="C6" s="6">
        <v>62000</v>
      </c>
      <c r="D6" s="4" t="s">
        <v>15</v>
      </c>
    </row>
    <row r="7" spans="1:4" ht="23" x14ac:dyDescent="0.35">
      <c r="A7" s="2" t="s">
        <v>17</v>
      </c>
      <c r="B7" s="2" t="s">
        <v>5</v>
      </c>
      <c r="C7" s="7">
        <v>70000</v>
      </c>
      <c r="D7" s="5" t="s">
        <v>21</v>
      </c>
    </row>
    <row r="8" spans="1:4" ht="23" x14ac:dyDescent="0.35">
      <c r="A8" s="3" t="s">
        <v>7</v>
      </c>
      <c r="B8" s="3" t="s">
        <v>8</v>
      </c>
      <c r="C8" s="7">
        <v>54000</v>
      </c>
      <c r="D8" s="5" t="s">
        <v>22</v>
      </c>
    </row>
    <row r="9" spans="1:4" ht="34.5" x14ac:dyDescent="0.35">
      <c r="A9" s="2" t="s">
        <v>10</v>
      </c>
      <c r="B9" s="2" t="s">
        <v>11</v>
      </c>
      <c r="C9" s="7">
        <v>23000</v>
      </c>
      <c r="D9" s="5" t="s">
        <v>23</v>
      </c>
    </row>
    <row r="10" spans="1:4" ht="34.5" x14ac:dyDescent="0.35">
      <c r="A10" s="3" t="s">
        <v>13</v>
      </c>
      <c r="B10" s="3" t="s">
        <v>14</v>
      </c>
      <c r="C10" s="7">
        <v>77999</v>
      </c>
      <c r="D10" s="5" t="s">
        <v>24</v>
      </c>
    </row>
    <row r="11" spans="1:4" ht="23" x14ac:dyDescent="0.35">
      <c r="A11" s="2" t="s">
        <v>18</v>
      </c>
      <c r="B11" s="2" t="s">
        <v>5</v>
      </c>
      <c r="C11" s="7">
        <v>74500</v>
      </c>
      <c r="D11" s="5" t="s">
        <v>25</v>
      </c>
    </row>
    <row r="12" spans="1:4" ht="23" x14ac:dyDescent="0.35">
      <c r="A12" s="3" t="s">
        <v>7</v>
      </c>
      <c r="B12" s="3" t="s">
        <v>8</v>
      </c>
      <c r="C12" s="7">
        <v>45000</v>
      </c>
      <c r="D12" s="5" t="s">
        <v>26</v>
      </c>
    </row>
    <row r="13" spans="1:4" ht="34.5" x14ac:dyDescent="0.35">
      <c r="A13" s="2" t="s">
        <v>10</v>
      </c>
      <c r="B13" s="2" t="s">
        <v>11</v>
      </c>
      <c r="C13" s="7">
        <v>49000</v>
      </c>
      <c r="D13" s="5" t="s">
        <v>27</v>
      </c>
    </row>
    <row r="14" spans="1:4" ht="34.5" x14ac:dyDescent="0.35">
      <c r="A14" s="3" t="s">
        <v>13</v>
      </c>
      <c r="B14" s="3" t="s">
        <v>14</v>
      </c>
      <c r="C14" s="7">
        <v>67000</v>
      </c>
      <c r="D14" s="5" t="s">
        <v>28</v>
      </c>
    </row>
    <row r="15" spans="1:4" ht="23" x14ac:dyDescent="0.35">
      <c r="A15" s="2" t="s">
        <v>19</v>
      </c>
      <c r="B15" s="2" t="s">
        <v>5</v>
      </c>
      <c r="C15" s="7">
        <v>89000</v>
      </c>
      <c r="D15" s="5" t="s">
        <v>29</v>
      </c>
    </row>
    <row r="16" spans="1:4" ht="23" x14ac:dyDescent="0.35">
      <c r="A16" s="3" t="s">
        <v>7</v>
      </c>
      <c r="B16" s="3" t="s">
        <v>8</v>
      </c>
      <c r="C16" s="7">
        <v>72000</v>
      </c>
      <c r="D16" s="5" t="s">
        <v>30</v>
      </c>
    </row>
    <row r="17" spans="1:4" ht="34.5" x14ac:dyDescent="0.35">
      <c r="A17" s="2" t="s">
        <v>10</v>
      </c>
      <c r="B17" s="2" t="s">
        <v>11</v>
      </c>
      <c r="C17" s="7">
        <v>62000</v>
      </c>
      <c r="D17" s="5" t="s">
        <v>31</v>
      </c>
    </row>
    <row r="18" spans="1:4" ht="34.5" x14ac:dyDescent="0.35">
      <c r="A18" s="3" t="s">
        <v>13</v>
      </c>
      <c r="B18" s="3" t="s">
        <v>14</v>
      </c>
      <c r="C18" s="7">
        <v>66000</v>
      </c>
      <c r="D18" s="5" t="s">
        <v>32</v>
      </c>
    </row>
    <row r="19" spans="1:4" ht="23" x14ac:dyDescent="0.35">
      <c r="A19" s="2" t="s">
        <v>20</v>
      </c>
      <c r="B19" s="2" t="s">
        <v>5</v>
      </c>
      <c r="C19" s="7">
        <v>88000</v>
      </c>
      <c r="D19" s="5" t="s">
        <v>33</v>
      </c>
    </row>
    <row r="20" spans="1:4" ht="23" x14ac:dyDescent="0.35">
      <c r="A20" s="3" t="s">
        <v>7</v>
      </c>
      <c r="B20" s="3" t="s">
        <v>8</v>
      </c>
      <c r="C20" s="7">
        <v>83000</v>
      </c>
      <c r="D20" s="5" t="s">
        <v>34</v>
      </c>
    </row>
    <row r="21" spans="1:4" ht="34.5" x14ac:dyDescent="0.35">
      <c r="A21" s="2" t="s">
        <v>10</v>
      </c>
      <c r="B21" s="2" t="s">
        <v>11</v>
      </c>
      <c r="C21" s="7">
        <v>92000</v>
      </c>
      <c r="D21" s="5" t="s">
        <v>35</v>
      </c>
    </row>
    <row r="22" spans="1:4" x14ac:dyDescent="0.35">
      <c r="C22" s="5"/>
      <c r="D22" s="5"/>
    </row>
    <row r="23" spans="1:4" x14ac:dyDescent="0.35">
      <c r="C23" s="5"/>
      <c r="D23" s="5"/>
    </row>
  </sheetData>
  <mergeCells count="1">
    <mergeCell ref="A1:D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5F9A-468F-441B-A2CE-23A3FCF649BD}">
  <dimension ref="A1:F6"/>
  <sheetViews>
    <sheetView workbookViewId="0">
      <selection activeCell="C8" sqref="C8"/>
    </sheetView>
  </sheetViews>
  <sheetFormatPr defaultRowHeight="14.5" x14ac:dyDescent="0.35"/>
  <cols>
    <col min="1" max="1" width="13.81640625" bestFit="1" customWidth="1"/>
  </cols>
  <sheetData>
    <row r="1" spans="1:6" x14ac:dyDescent="0.35">
      <c r="A1" t="s">
        <v>36</v>
      </c>
    </row>
    <row r="2" spans="1:6" x14ac:dyDescent="0.35">
      <c r="A2" t="s">
        <v>37</v>
      </c>
      <c r="B2" t="str">
        <f>LEFT(A2,3)</f>
        <v>EMP</v>
      </c>
      <c r="C2" t="str">
        <f>RIGHT(A2,6)</f>
        <v>102567</v>
      </c>
      <c r="D2" t="str">
        <f>MID(A2,4,1)</f>
        <v>-</v>
      </c>
      <c r="E2">
        <f>LEN(A2)</f>
        <v>10</v>
      </c>
      <c r="F2" t="str">
        <f>RIGHT(A2,LEN(A2)-FIND("-",A2))</f>
        <v>102567</v>
      </c>
    </row>
    <row r="3" spans="1:6" x14ac:dyDescent="0.35">
      <c r="A3" t="s">
        <v>38</v>
      </c>
      <c r="B3" t="str">
        <f t="shared" ref="B3:B6" si="0">LEFT(A3,3)</f>
        <v>EMP</v>
      </c>
      <c r="C3" t="str">
        <f t="shared" ref="C3:C6" si="1">RIGHT(A3,6)</f>
        <v>P-2045</v>
      </c>
      <c r="D3" t="str">
        <f t="shared" ref="D3:D6" si="2">MID(A3,4,1)</f>
        <v>-</v>
      </c>
      <c r="E3">
        <f t="shared" ref="E3:E6" si="3">LEN(A3)</f>
        <v>8</v>
      </c>
      <c r="F3" t="str">
        <f t="shared" ref="F3:F6" si="4">RIGHT(A3,LEN(A3)-FIND("-",A3))</f>
        <v>2045</v>
      </c>
    </row>
    <row r="4" spans="1:6" x14ac:dyDescent="0.35">
      <c r="A4" t="s">
        <v>39</v>
      </c>
      <c r="B4" t="str">
        <f t="shared" si="0"/>
        <v>EMP</v>
      </c>
      <c r="C4" t="str">
        <f t="shared" si="1"/>
        <v>P-3098</v>
      </c>
      <c r="D4" t="str">
        <f t="shared" si="2"/>
        <v>-</v>
      </c>
      <c r="E4">
        <f t="shared" si="3"/>
        <v>8</v>
      </c>
      <c r="F4" t="str">
        <f t="shared" si="4"/>
        <v>3098</v>
      </c>
    </row>
    <row r="5" spans="1:6" x14ac:dyDescent="0.35">
      <c r="A5" t="s">
        <v>40</v>
      </c>
      <c r="B5" t="str">
        <f t="shared" si="0"/>
        <v>EMP</v>
      </c>
      <c r="C5" t="str">
        <f t="shared" si="1"/>
        <v>P-4512</v>
      </c>
      <c r="D5" t="str">
        <f t="shared" si="2"/>
        <v>-</v>
      </c>
      <c r="E5">
        <f t="shared" si="3"/>
        <v>8</v>
      </c>
      <c r="F5" t="str">
        <f t="shared" si="4"/>
        <v>4512</v>
      </c>
    </row>
    <row r="6" spans="1:6" x14ac:dyDescent="0.35">
      <c r="A6" t="s">
        <v>41</v>
      </c>
      <c r="B6" t="str">
        <f t="shared" si="0"/>
        <v>EMP</v>
      </c>
      <c r="C6" t="str">
        <f t="shared" si="1"/>
        <v>P-5679</v>
      </c>
      <c r="D6" t="str">
        <f t="shared" si="2"/>
        <v>-</v>
      </c>
      <c r="E6">
        <f t="shared" si="3"/>
        <v>8</v>
      </c>
      <c r="F6" t="str">
        <f t="shared" si="4"/>
        <v>5679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19ED-A2D6-4DBA-BE92-F8335F5812C1}">
  <dimension ref="A1:D6"/>
  <sheetViews>
    <sheetView workbookViewId="0">
      <selection activeCell="D2" sqref="D2"/>
    </sheetView>
  </sheetViews>
  <sheetFormatPr defaultRowHeight="14.5" x14ac:dyDescent="0.35"/>
  <cols>
    <col min="1" max="1" width="12" bestFit="1" customWidth="1"/>
    <col min="2" max="2" width="14.54296875" bestFit="1" customWidth="1"/>
    <col min="3" max="3" width="12.7265625" bestFit="1" customWidth="1"/>
    <col min="4" max="4" width="17.1796875" bestFit="1" customWidth="1"/>
  </cols>
  <sheetData>
    <row r="1" spans="1:4" x14ac:dyDescent="0.35">
      <c r="A1" s="8" t="s">
        <v>42</v>
      </c>
      <c r="B1" s="8" t="s">
        <v>43</v>
      </c>
      <c r="C1" s="8" t="s">
        <v>44</v>
      </c>
      <c r="D1" s="8" t="s">
        <v>45</v>
      </c>
    </row>
    <row r="2" spans="1:4" x14ac:dyDescent="0.35">
      <c r="A2" t="s">
        <v>46</v>
      </c>
      <c r="B2">
        <v>45</v>
      </c>
      <c r="C2">
        <v>92</v>
      </c>
      <c r="D2" t="str">
        <f>IF(AND(C2&gt;=90,B2&gt;=40),"Excellent",IF(C2&gt;=80,"Good","Need Improvement"))</f>
        <v>Excellent</v>
      </c>
    </row>
    <row r="3" spans="1:4" x14ac:dyDescent="0.35">
      <c r="A3" t="s">
        <v>47</v>
      </c>
      <c r="B3">
        <v>38</v>
      </c>
      <c r="C3">
        <v>85</v>
      </c>
      <c r="D3" t="str">
        <f t="shared" ref="D3:D6" si="0">IF(AND(C3&gt;=90,B3&gt;=40),"Excellent",IF(C3&gt;=80,"Good","Need Improvement"))</f>
        <v>Good</v>
      </c>
    </row>
    <row r="4" spans="1:4" x14ac:dyDescent="0.35">
      <c r="A4" t="s">
        <v>48</v>
      </c>
      <c r="B4">
        <v>50</v>
      </c>
      <c r="C4">
        <v>95</v>
      </c>
      <c r="D4" t="str">
        <f t="shared" si="0"/>
        <v>Excellent</v>
      </c>
    </row>
    <row r="5" spans="1:4" x14ac:dyDescent="0.35">
      <c r="A5" t="s">
        <v>15</v>
      </c>
      <c r="B5">
        <v>30</v>
      </c>
      <c r="C5">
        <v>70</v>
      </c>
      <c r="D5" t="str">
        <f t="shared" si="0"/>
        <v>Need Improvement</v>
      </c>
    </row>
    <row r="6" spans="1:4" x14ac:dyDescent="0.35">
      <c r="A6" t="s">
        <v>49</v>
      </c>
      <c r="B6">
        <v>42</v>
      </c>
      <c r="C6">
        <v>88</v>
      </c>
      <c r="D6" t="str">
        <f t="shared" si="0"/>
        <v>Good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F9E1-E911-4FDB-BD7E-1FE1E720AC2D}">
  <dimension ref="A1:D6"/>
  <sheetViews>
    <sheetView zoomScale="139" workbookViewId="0">
      <selection activeCell="E5" sqref="E5"/>
    </sheetView>
  </sheetViews>
  <sheetFormatPr defaultRowHeight="14.5" x14ac:dyDescent="0.35"/>
  <cols>
    <col min="1" max="1" width="6.1796875" bestFit="1" customWidth="1"/>
    <col min="2" max="2" width="6.36328125" bestFit="1" customWidth="1"/>
    <col min="3" max="3" width="5.1796875" bestFit="1" customWidth="1"/>
    <col min="4" max="4" width="5.26953125" bestFit="1" customWidth="1"/>
  </cols>
  <sheetData>
    <row r="1" spans="1:4" ht="23" x14ac:dyDescent="0.35">
      <c r="A1" s="1" t="s">
        <v>50</v>
      </c>
      <c r="B1" s="1" t="s">
        <v>51</v>
      </c>
      <c r="C1" s="1" t="s">
        <v>52</v>
      </c>
      <c r="D1" s="1" t="s">
        <v>53</v>
      </c>
    </row>
    <row r="2" spans="1:4" x14ac:dyDescent="0.35">
      <c r="A2" s="2">
        <v>1</v>
      </c>
      <c r="B2" s="2" t="s">
        <v>54</v>
      </c>
      <c r="C2" s="2">
        <v>78</v>
      </c>
      <c r="D2" s="2" t="str">
        <f>IF(C2&gt;=40,"PASS","FAIL")</f>
        <v>PASS</v>
      </c>
    </row>
    <row r="3" spans="1:4" x14ac:dyDescent="0.35">
      <c r="A3" s="3">
        <v>2</v>
      </c>
      <c r="B3" s="3" t="s">
        <v>55</v>
      </c>
      <c r="C3" s="3">
        <v>35</v>
      </c>
      <c r="D3" s="2" t="str">
        <f t="shared" ref="D3:D6" si="0">IF(C3&gt;=40,"PASS","FAIL")</f>
        <v>FAIL</v>
      </c>
    </row>
    <row r="4" spans="1:4" x14ac:dyDescent="0.35">
      <c r="A4" s="2">
        <v>3</v>
      </c>
      <c r="B4" s="2" t="s">
        <v>56</v>
      </c>
      <c r="C4" s="2">
        <v>62</v>
      </c>
      <c r="D4" s="2" t="str">
        <f t="shared" si="0"/>
        <v>PASS</v>
      </c>
    </row>
    <row r="5" spans="1:4" x14ac:dyDescent="0.35">
      <c r="A5" s="3">
        <v>4</v>
      </c>
      <c r="B5" s="3" t="s">
        <v>57</v>
      </c>
      <c r="C5" s="3">
        <v>40</v>
      </c>
      <c r="D5" s="2" t="str">
        <f t="shared" si="0"/>
        <v>PASS</v>
      </c>
    </row>
    <row r="6" spans="1:4" x14ac:dyDescent="0.35">
      <c r="A6" s="2">
        <v>5</v>
      </c>
      <c r="B6" s="2" t="s">
        <v>58</v>
      </c>
      <c r="C6" s="2">
        <v>28</v>
      </c>
      <c r="D6" s="2" t="str">
        <f t="shared" si="0"/>
        <v>FAIL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770B-1D2E-4D5D-9518-60BB97AA72A2}">
  <dimension ref="A1:C5"/>
  <sheetViews>
    <sheetView workbookViewId="0">
      <selection activeCell="F7" sqref="F7"/>
    </sheetView>
  </sheetViews>
  <sheetFormatPr defaultRowHeight="14.5" x14ac:dyDescent="0.35"/>
  <cols>
    <col min="1" max="1" width="7.7265625" bestFit="1" customWidth="1"/>
    <col min="2" max="2" width="5.26953125" bestFit="1" customWidth="1"/>
    <col min="3" max="3" width="7" bestFit="1" customWidth="1"/>
  </cols>
  <sheetData>
    <row r="1" spans="1:3" ht="23" x14ac:dyDescent="0.35">
      <c r="A1" s="1" t="s">
        <v>59</v>
      </c>
      <c r="B1" s="1" t="s">
        <v>60</v>
      </c>
      <c r="C1" s="1" t="s">
        <v>61</v>
      </c>
    </row>
    <row r="2" spans="1:3" x14ac:dyDescent="0.35">
      <c r="A2" s="2" t="s">
        <v>62</v>
      </c>
      <c r="B2" s="2">
        <v>28000</v>
      </c>
      <c r="C2" s="2" t="str">
        <f>IF(B2&gt;=40000,"Bonus","No Bonus")</f>
        <v>No Bonus</v>
      </c>
    </row>
    <row r="3" spans="1:3" x14ac:dyDescent="0.35">
      <c r="A3" s="3" t="s">
        <v>63</v>
      </c>
      <c r="B3" s="3">
        <v>45000</v>
      </c>
      <c r="C3" s="2" t="str">
        <f t="shared" ref="C3:C5" si="0">IF(B3&gt;=40000,"Bonus","No Bonus")</f>
        <v>Bonus</v>
      </c>
    </row>
    <row r="4" spans="1:3" x14ac:dyDescent="0.35">
      <c r="A4" s="2" t="s">
        <v>64</v>
      </c>
      <c r="B4" s="2">
        <v>52000</v>
      </c>
      <c r="C4" s="2" t="str">
        <f t="shared" si="0"/>
        <v>Bonus</v>
      </c>
    </row>
    <row r="5" spans="1:3" x14ac:dyDescent="0.35">
      <c r="A5" s="3" t="s">
        <v>65</v>
      </c>
      <c r="B5" s="3">
        <v>30000</v>
      </c>
      <c r="C5" s="2" t="str">
        <f t="shared" si="0"/>
        <v>No Bonus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60DF-6B65-4DC5-B9C0-496B2383BC2D}">
  <dimension ref="A1:D5"/>
  <sheetViews>
    <sheetView workbookViewId="0">
      <selection activeCell="E17" sqref="E17"/>
    </sheetView>
  </sheetViews>
  <sheetFormatPr defaultRowHeight="14.5" x14ac:dyDescent="0.35"/>
  <sheetData>
    <row r="1" spans="1:4" ht="23" x14ac:dyDescent="0.35">
      <c r="A1" s="1" t="s">
        <v>67</v>
      </c>
      <c r="B1" s="1" t="s">
        <v>68</v>
      </c>
      <c r="C1" s="1" t="s">
        <v>69</v>
      </c>
      <c r="D1" s="1" t="s">
        <v>70</v>
      </c>
    </row>
    <row r="2" spans="1:4" x14ac:dyDescent="0.35">
      <c r="A2" s="2" t="s">
        <v>62</v>
      </c>
      <c r="B2" s="2">
        <v>25</v>
      </c>
      <c r="C2" s="2">
        <v>2</v>
      </c>
      <c r="D2" s="2" t="str">
        <f>IF(AND(B2&gt;=21,C2&gt;=1),"Eligible","Not Eligible")</f>
        <v>Eligible</v>
      </c>
    </row>
    <row r="3" spans="1:4" x14ac:dyDescent="0.35">
      <c r="A3" s="3" t="s">
        <v>63</v>
      </c>
      <c r="B3" s="3">
        <v>20</v>
      </c>
      <c r="C3" s="3">
        <v>1</v>
      </c>
      <c r="D3" s="2" t="str">
        <f t="shared" ref="D3:D5" si="0">IF(AND(B3&gt;=21,C3&gt;=1),"Eligible","Not Eligible")</f>
        <v>Not Eligible</v>
      </c>
    </row>
    <row r="4" spans="1:4" x14ac:dyDescent="0.35">
      <c r="A4" s="2" t="s">
        <v>64</v>
      </c>
      <c r="B4" s="2">
        <v>30</v>
      </c>
      <c r="C4" s="2">
        <v>5</v>
      </c>
      <c r="D4" s="2" t="str">
        <f t="shared" si="0"/>
        <v>Eligible</v>
      </c>
    </row>
    <row r="5" spans="1:4" x14ac:dyDescent="0.35">
      <c r="A5" s="3" t="s">
        <v>65</v>
      </c>
      <c r="B5" s="3">
        <v>22</v>
      </c>
      <c r="C5" s="3">
        <v>0</v>
      </c>
      <c r="D5" s="2" t="str">
        <f t="shared" si="0"/>
        <v>Not Eligible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79FE-AE0F-4393-A6CC-2E8F39A2CFF2}">
  <dimension ref="A1:C6"/>
  <sheetViews>
    <sheetView workbookViewId="0">
      <selection activeCell="E16" sqref="E16"/>
    </sheetView>
  </sheetViews>
  <sheetFormatPr defaultRowHeight="14.5" x14ac:dyDescent="0.35"/>
  <sheetData>
    <row r="1" spans="1:3" ht="23" x14ac:dyDescent="0.35">
      <c r="A1" s="1" t="s">
        <v>51</v>
      </c>
      <c r="B1" s="1" t="s">
        <v>52</v>
      </c>
      <c r="C1" s="1" t="s">
        <v>66</v>
      </c>
    </row>
    <row r="2" spans="1:3" x14ac:dyDescent="0.35">
      <c r="A2" s="2" t="s">
        <v>54</v>
      </c>
      <c r="B2" s="2">
        <v>82</v>
      </c>
      <c r="C2" s="2" t="str">
        <f>IF(B2&gt;=75,"A",IF(B2&gt;=60,"B",IF(B2&gt;=40,"C","Fail")))</f>
        <v>A</v>
      </c>
    </row>
    <row r="3" spans="1:3" x14ac:dyDescent="0.35">
      <c r="A3" s="3" t="s">
        <v>55</v>
      </c>
      <c r="B3" s="3">
        <v>67</v>
      </c>
      <c r="C3" s="2" t="str">
        <f t="shared" ref="C3:C6" si="0">IF(B3&gt;=75,"A",IF(B3&gt;=60,"B",IF(B3&gt;=40,"C","Fail")))</f>
        <v>B</v>
      </c>
    </row>
    <row r="4" spans="1:3" x14ac:dyDescent="0.35">
      <c r="A4" s="2" t="s">
        <v>56</v>
      </c>
      <c r="B4" s="2">
        <v>45</v>
      </c>
      <c r="C4" s="2" t="str">
        <f t="shared" si="0"/>
        <v>C</v>
      </c>
    </row>
    <row r="5" spans="1:3" x14ac:dyDescent="0.35">
      <c r="A5" s="3" t="s">
        <v>57</v>
      </c>
      <c r="B5" s="3">
        <v>33</v>
      </c>
      <c r="C5" s="2" t="str">
        <f t="shared" si="0"/>
        <v>Fail</v>
      </c>
    </row>
    <row r="6" spans="1:3" x14ac:dyDescent="0.35">
      <c r="A6" s="2" t="s">
        <v>58</v>
      </c>
      <c r="B6" s="2">
        <v>90</v>
      </c>
      <c r="C6" s="2" t="str">
        <f t="shared" si="0"/>
        <v>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29F7-8892-44D0-83EE-C6E44F9064B2}">
  <dimension ref="A1:D5"/>
  <sheetViews>
    <sheetView workbookViewId="0">
      <selection activeCell="L4" sqref="L4"/>
    </sheetView>
  </sheetViews>
  <sheetFormatPr defaultRowHeight="14.5" x14ac:dyDescent="0.35"/>
  <cols>
    <col min="1" max="1" width="6.36328125" bestFit="1" customWidth="1"/>
    <col min="2" max="2" width="8" bestFit="1" customWidth="1"/>
    <col min="3" max="3" width="8.6328125" bestFit="1" customWidth="1"/>
    <col min="4" max="4" width="8.08984375" bestFit="1" customWidth="1"/>
  </cols>
  <sheetData>
    <row r="1" spans="1:4" ht="34.5" x14ac:dyDescent="0.35">
      <c r="A1" s="1" t="s">
        <v>51</v>
      </c>
      <c r="B1" s="1" t="s">
        <v>71</v>
      </c>
      <c r="C1" s="1" t="s">
        <v>72</v>
      </c>
      <c r="D1" s="1" t="s">
        <v>70</v>
      </c>
    </row>
    <row r="2" spans="1:4" x14ac:dyDescent="0.35">
      <c r="A2" s="2" t="s">
        <v>54</v>
      </c>
      <c r="B2" s="2">
        <v>85</v>
      </c>
      <c r="C2" s="2" t="s">
        <v>73</v>
      </c>
      <c r="D2" s="2" t="str">
        <f>IF(AND(B2&gt;=75,C2="Yes"),"Eligible","Not Eligible")</f>
        <v>Eligible</v>
      </c>
    </row>
    <row r="3" spans="1:4" x14ac:dyDescent="0.35">
      <c r="A3" s="3" t="s">
        <v>55</v>
      </c>
      <c r="B3" s="3">
        <v>72</v>
      </c>
      <c r="C3" s="3" t="s">
        <v>73</v>
      </c>
      <c r="D3" s="2" t="str">
        <f t="shared" ref="D3:D5" si="0">IF(AND(B3&gt;=75,C3="Yes"),"Eligible","Not Eligible")</f>
        <v>Not Eligible</v>
      </c>
    </row>
    <row r="4" spans="1:4" x14ac:dyDescent="0.35">
      <c r="A4" s="2" t="s">
        <v>56</v>
      </c>
      <c r="B4" s="2">
        <v>90</v>
      </c>
      <c r="C4" s="2" t="s">
        <v>74</v>
      </c>
      <c r="D4" s="2" t="str">
        <f t="shared" si="0"/>
        <v>Not Eligible</v>
      </c>
    </row>
    <row r="5" spans="1:4" x14ac:dyDescent="0.35">
      <c r="A5" s="3" t="s">
        <v>57</v>
      </c>
      <c r="B5" s="3">
        <v>80</v>
      </c>
      <c r="C5" s="3" t="s">
        <v>73</v>
      </c>
      <c r="D5" s="2" t="str">
        <f t="shared" si="0"/>
        <v>Eligible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7EAA-E095-4465-B4FC-89D0CD9F143C}">
  <dimension ref="A1:D5"/>
  <sheetViews>
    <sheetView workbookViewId="0">
      <selection activeCell="D7" sqref="D7"/>
    </sheetView>
  </sheetViews>
  <sheetFormatPr defaultRowHeight="14.5" x14ac:dyDescent="0.35"/>
  <sheetData>
    <row r="1" spans="1:4" ht="23" x14ac:dyDescent="0.35">
      <c r="A1" s="1" t="s">
        <v>75</v>
      </c>
      <c r="B1" s="1" t="s">
        <v>76</v>
      </c>
      <c r="C1" s="1" t="s">
        <v>77</v>
      </c>
      <c r="D1" s="1" t="s">
        <v>78</v>
      </c>
    </row>
    <row r="2" spans="1:4" x14ac:dyDescent="0.35">
      <c r="A2" s="2" t="s">
        <v>79</v>
      </c>
      <c r="B2" s="2">
        <v>9000</v>
      </c>
      <c r="C2" s="2" t="s">
        <v>74</v>
      </c>
      <c r="D2" s="2" t="str">
        <f>IF(OR(B2&gt;=10000,C2="Yes"),"Discount","No Discount")</f>
        <v>No Discount</v>
      </c>
    </row>
    <row r="3" spans="1:4" x14ac:dyDescent="0.35">
      <c r="A3" s="3" t="s">
        <v>80</v>
      </c>
      <c r="B3" s="3">
        <v>12000</v>
      </c>
      <c r="C3" s="3" t="s">
        <v>74</v>
      </c>
      <c r="D3" s="2" t="str">
        <f t="shared" ref="D3:D5" si="0">IF(OR(B3&gt;=10000,C3="Yes"),"Discount","No Discount")</f>
        <v>Discount</v>
      </c>
    </row>
    <row r="4" spans="1:4" x14ac:dyDescent="0.35">
      <c r="A4" s="2" t="s">
        <v>56</v>
      </c>
      <c r="B4" s="2">
        <v>4000</v>
      </c>
      <c r="C4" s="2" t="s">
        <v>73</v>
      </c>
      <c r="D4" s="2" t="str">
        <f t="shared" si="0"/>
        <v>Discount</v>
      </c>
    </row>
    <row r="5" spans="1:4" x14ac:dyDescent="0.35">
      <c r="A5" s="3" t="s">
        <v>81</v>
      </c>
      <c r="B5" s="3">
        <v>3000</v>
      </c>
      <c r="C5" s="3" t="s">
        <v>74</v>
      </c>
      <c r="D5" s="2" t="str">
        <f t="shared" si="0"/>
        <v>No Discount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1A54-2CCC-4ECC-948D-5EBF171D26F0}">
  <dimension ref="A1:D5"/>
  <sheetViews>
    <sheetView workbookViewId="0">
      <selection activeCell="D7" sqref="D7"/>
    </sheetView>
  </sheetViews>
  <sheetFormatPr defaultRowHeight="14.5" x14ac:dyDescent="0.35"/>
  <sheetData>
    <row r="1" spans="1:4" ht="23" x14ac:dyDescent="0.35">
      <c r="A1" s="1" t="s">
        <v>82</v>
      </c>
      <c r="B1" s="1" t="s">
        <v>60</v>
      </c>
      <c r="C1" s="1" t="s">
        <v>83</v>
      </c>
      <c r="D1" s="1" t="s">
        <v>84</v>
      </c>
    </row>
    <row r="2" spans="1:4" x14ac:dyDescent="0.35">
      <c r="A2" s="2" t="s">
        <v>62</v>
      </c>
      <c r="B2" s="2">
        <v>35000</v>
      </c>
      <c r="C2" s="2">
        <v>720</v>
      </c>
      <c r="D2" s="2" t="str">
        <f>IF(OR(B2&gt;=40000,C2&gt;=700),"Paid","Unpaid")</f>
        <v>Paid</v>
      </c>
    </row>
    <row r="3" spans="1:4" x14ac:dyDescent="0.35">
      <c r="A3" s="3" t="s">
        <v>63</v>
      </c>
      <c r="B3" s="3">
        <v>25000</v>
      </c>
      <c r="C3" s="3">
        <v>680</v>
      </c>
      <c r="D3" s="2" t="str">
        <f t="shared" ref="D3:D5" si="0">IF(OR(B3&gt;=40000,C3&gt;=700),"Paid","Unpaid")</f>
        <v>Unpaid</v>
      </c>
    </row>
    <row r="4" spans="1:4" x14ac:dyDescent="0.35">
      <c r="A4" s="2" t="s">
        <v>64</v>
      </c>
      <c r="B4" s="2">
        <v>50000</v>
      </c>
      <c r="C4" s="2">
        <v>650</v>
      </c>
      <c r="D4" s="2" t="str">
        <f t="shared" si="0"/>
        <v>Paid</v>
      </c>
    </row>
    <row r="5" spans="1:4" x14ac:dyDescent="0.35">
      <c r="A5" s="3" t="s">
        <v>65</v>
      </c>
      <c r="B5" s="3">
        <v>20000</v>
      </c>
      <c r="C5" s="3">
        <v>600</v>
      </c>
      <c r="D5" s="2" t="str">
        <f t="shared" si="0"/>
        <v>Unpaid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BB21-F6E2-4F03-8682-0F8318D3C288}">
  <dimension ref="A1:C5"/>
  <sheetViews>
    <sheetView workbookViewId="0">
      <selection activeCell="C3" sqref="C3"/>
    </sheetView>
  </sheetViews>
  <sheetFormatPr defaultRowHeight="14.5" x14ac:dyDescent="0.35"/>
  <sheetData>
    <row r="1" spans="1:3" x14ac:dyDescent="0.35">
      <c r="A1" s="1" t="s">
        <v>67</v>
      </c>
      <c r="B1" s="1" t="s">
        <v>85</v>
      </c>
      <c r="C1" s="1" t="s">
        <v>86</v>
      </c>
    </row>
    <row r="2" spans="1:3" x14ac:dyDescent="0.35">
      <c r="A2" s="2" t="s">
        <v>54</v>
      </c>
      <c r="B2" s="2" t="b">
        <v>1</v>
      </c>
      <c r="C2" s="2" t="str">
        <f>IF(NOT(B2),"Absent","Present")</f>
        <v>Present</v>
      </c>
    </row>
    <row r="3" spans="1:3" x14ac:dyDescent="0.35">
      <c r="A3" s="3" t="s">
        <v>55</v>
      </c>
      <c r="B3" s="3" t="b">
        <v>0</v>
      </c>
      <c r="C3" s="2" t="str">
        <f t="shared" ref="C3:C5" si="0">IF(NOT(B3),"Absent","Present")</f>
        <v>Absent</v>
      </c>
    </row>
    <row r="4" spans="1:3" x14ac:dyDescent="0.35">
      <c r="A4" s="2" t="s">
        <v>56</v>
      </c>
      <c r="B4" s="2" t="b">
        <v>1</v>
      </c>
      <c r="C4" s="2" t="str">
        <f t="shared" si="0"/>
        <v>Present</v>
      </c>
    </row>
    <row r="5" spans="1:3" x14ac:dyDescent="0.35">
      <c r="A5" s="3" t="s">
        <v>57</v>
      </c>
      <c r="B5" s="3" t="b">
        <v>0</v>
      </c>
      <c r="C5" s="2" t="str">
        <f t="shared" si="0"/>
        <v>Absent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03E0-FEEF-4B04-9141-C62916490CCD}">
  <dimension ref="A1:C5"/>
  <sheetViews>
    <sheetView workbookViewId="0">
      <selection activeCell="C7" sqref="C7"/>
    </sheetView>
  </sheetViews>
  <sheetFormatPr defaultRowHeight="14.5" x14ac:dyDescent="0.35"/>
  <sheetData>
    <row r="1" spans="1:3" x14ac:dyDescent="0.35">
      <c r="A1" s="1" t="s">
        <v>87</v>
      </c>
      <c r="B1" s="1" t="s">
        <v>88</v>
      </c>
      <c r="C1" s="1" t="s">
        <v>53</v>
      </c>
    </row>
    <row r="2" spans="1:3" x14ac:dyDescent="0.35">
      <c r="A2" s="2">
        <v>10</v>
      </c>
      <c r="B2" s="2">
        <v>2</v>
      </c>
      <c r="C2" s="2">
        <f>IFERROR(A2/B2,"Invalid")</f>
        <v>5</v>
      </c>
    </row>
    <row r="3" spans="1:3" x14ac:dyDescent="0.35">
      <c r="A3" s="3">
        <v>15</v>
      </c>
      <c r="B3" s="3">
        <v>0</v>
      </c>
      <c r="C3" s="2" t="str">
        <f t="shared" ref="C3:C5" si="0">IFERROR(A3/B3,"Invalid")</f>
        <v>Invalid</v>
      </c>
    </row>
    <row r="4" spans="1:3" x14ac:dyDescent="0.35">
      <c r="A4" s="2">
        <v>20</v>
      </c>
      <c r="B4" s="2">
        <v>5</v>
      </c>
      <c r="C4" s="2">
        <f t="shared" si="0"/>
        <v>4</v>
      </c>
    </row>
    <row r="5" spans="1:3" x14ac:dyDescent="0.35">
      <c r="A5" s="3">
        <v>8</v>
      </c>
      <c r="B5" s="3">
        <v>0</v>
      </c>
      <c r="C5" s="2" t="str">
        <f t="shared" si="0"/>
        <v>Invalid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267B-5C97-4967-AAD8-F9AC683BCEA4}">
  <dimension ref="A1:D5"/>
  <sheetViews>
    <sheetView workbookViewId="0">
      <selection activeCell="D4" sqref="D4"/>
    </sheetView>
  </sheetViews>
  <sheetFormatPr defaultRowHeight="14.5" x14ac:dyDescent="0.35"/>
  <cols>
    <col min="1" max="1" width="7.7265625" bestFit="1" customWidth="1"/>
    <col min="2" max="2" width="7.26953125" bestFit="1" customWidth="1"/>
    <col min="3" max="3" width="8" bestFit="1" customWidth="1"/>
    <col min="4" max="4" width="13.1796875" bestFit="1" customWidth="1"/>
  </cols>
  <sheetData>
    <row r="1" spans="1:4" ht="23" x14ac:dyDescent="0.35">
      <c r="A1" s="1" t="s">
        <v>59</v>
      </c>
      <c r="B1" s="1" t="s">
        <v>89</v>
      </c>
      <c r="C1" s="1" t="s">
        <v>71</v>
      </c>
      <c r="D1" s="1" t="s">
        <v>45</v>
      </c>
    </row>
    <row r="2" spans="1:4" x14ac:dyDescent="0.35">
      <c r="A2" s="2" t="s">
        <v>28</v>
      </c>
      <c r="B2" s="2">
        <v>45</v>
      </c>
      <c r="C2" s="2">
        <v>92</v>
      </c>
      <c r="D2" s="2" t="str">
        <f>IF(AND(C5&gt;=90,B5&gt;=40),"Excellent",IF(C5&gt;=80,"Good","Need Improvement"))</f>
        <v>Need Improvement</v>
      </c>
    </row>
    <row r="3" spans="1:4" ht="34.5" x14ac:dyDescent="0.35">
      <c r="A3" s="3" t="s">
        <v>47</v>
      </c>
      <c r="B3" s="3">
        <v>38</v>
      </c>
      <c r="C3" s="3">
        <v>85</v>
      </c>
      <c r="D3" s="2" t="str">
        <f t="shared" ref="D3:D5" si="0">IF(AND(C6&gt;=90,B6&gt;=40),"Excellent",IF(C6&gt;=80,"Good","Need Improvement"))</f>
        <v>Need Improvement</v>
      </c>
    </row>
    <row r="4" spans="1:4" ht="34.5" x14ac:dyDescent="0.35">
      <c r="A4" s="2" t="s">
        <v>48</v>
      </c>
      <c r="B4" s="2">
        <v>50</v>
      </c>
      <c r="C4" s="2">
        <v>95</v>
      </c>
      <c r="D4" s="2" t="str">
        <f t="shared" si="0"/>
        <v>Need Improvement</v>
      </c>
    </row>
    <row r="5" spans="1:4" ht="34.5" x14ac:dyDescent="0.35">
      <c r="A5" s="3" t="s">
        <v>15</v>
      </c>
      <c r="B5" s="3">
        <v>30</v>
      </c>
      <c r="C5" s="3">
        <v>70</v>
      </c>
      <c r="D5" s="2" t="str">
        <f t="shared" si="0"/>
        <v>Need Improvement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064F-5E88-475D-B944-39F604012E6E}">
  <dimension ref="A1:N12"/>
  <sheetViews>
    <sheetView tabSelected="1" topLeftCell="A4" workbookViewId="0">
      <selection activeCell="H14" sqref="H14"/>
    </sheetView>
  </sheetViews>
  <sheetFormatPr defaultRowHeight="14.5" x14ac:dyDescent="0.35"/>
  <cols>
    <col min="1" max="1" width="12.26953125" customWidth="1"/>
    <col min="2" max="2" width="8.36328125" customWidth="1"/>
    <col min="3" max="3" width="12.26953125" customWidth="1"/>
    <col min="4" max="4" width="8.54296875" bestFit="1" customWidth="1"/>
    <col min="5" max="5" width="6.90625" customWidth="1"/>
    <col min="6" max="6" width="12.26953125" customWidth="1"/>
    <col min="10" max="10" width="11.7265625" bestFit="1" customWidth="1"/>
    <col min="11" max="11" width="11.7265625" customWidth="1"/>
    <col min="13" max="13" width="11.90625" customWidth="1"/>
    <col min="14" max="14" width="13" customWidth="1"/>
  </cols>
  <sheetData>
    <row r="1" spans="1:14" ht="29" x14ac:dyDescent="0.35">
      <c r="A1" s="10" t="s">
        <v>90</v>
      </c>
      <c r="B1" s="12" t="s">
        <v>67</v>
      </c>
      <c r="C1" s="12" t="s">
        <v>91</v>
      </c>
      <c r="D1" s="12" t="s">
        <v>92</v>
      </c>
      <c r="E1" s="10" t="s">
        <v>60</v>
      </c>
      <c r="F1" s="10" t="s">
        <v>93</v>
      </c>
    </row>
    <row r="2" spans="1:14" ht="29" x14ac:dyDescent="0.35">
      <c r="A2" s="9" t="s">
        <v>94</v>
      </c>
      <c r="B2" s="13" t="s">
        <v>95</v>
      </c>
      <c r="C2" s="13" t="s">
        <v>96</v>
      </c>
      <c r="D2" s="13" t="s">
        <v>97</v>
      </c>
      <c r="E2" s="9">
        <v>45000</v>
      </c>
      <c r="F2" s="9">
        <v>2019</v>
      </c>
      <c r="J2" s="23" t="s">
        <v>123</v>
      </c>
      <c r="M2" s="23" t="s">
        <v>125</v>
      </c>
    </row>
    <row r="3" spans="1:14" ht="29" x14ac:dyDescent="0.35">
      <c r="A3" s="14" t="s">
        <v>98</v>
      </c>
      <c r="B3" s="15" t="s">
        <v>99</v>
      </c>
      <c r="C3" s="15" t="s">
        <v>100</v>
      </c>
      <c r="D3" s="15" t="s">
        <v>101</v>
      </c>
      <c r="E3" s="14">
        <v>52000</v>
      </c>
      <c r="F3" s="14">
        <v>2018</v>
      </c>
      <c r="J3" s="18" t="s">
        <v>90</v>
      </c>
      <c r="K3" s="19" t="s">
        <v>67</v>
      </c>
      <c r="L3" s="18"/>
      <c r="M3" s="19" t="s">
        <v>90</v>
      </c>
      <c r="N3" s="19" t="s">
        <v>92</v>
      </c>
    </row>
    <row r="4" spans="1:14" ht="29" x14ac:dyDescent="0.35">
      <c r="A4" s="9" t="s">
        <v>102</v>
      </c>
      <c r="B4" s="13" t="s">
        <v>103</v>
      </c>
      <c r="C4" s="13" t="s">
        <v>104</v>
      </c>
      <c r="D4" s="13" t="s">
        <v>105</v>
      </c>
      <c r="E4" s="9">
        <v>65000</v>
      </c>
      <c r="F4" s="9">
        <v>2020</v>
      </c>
      <c r="J4" s="20" t="s">
        <v>106</v>
      </c>
      <c r="K4" s="22" t="str">
        <f>VLOOKUP(J4,A1:F9,2,0)</f>
        <v>Neha Singh</v>
      </c>
      <c r="M4" s="20" t="s">
        <v>116</v>
      </c>
      <c r="N4" s="22" t="str">
        <f>VLOOKUP(M4,A1:F9,4,0)</f>
        <v>Hyderabad</v>
      </c>
    </row>
    <row r="5" spans="1:14" ht="29" x14ac:dyDescent="0.35">
      <c r="A5" s="14" t="s">
        <v>106</v>
      </c>
      <c r="B5" s="15" t="s">
        <v>107</v>
      </c>
      <c r="C5" s="15" t="s">
        <v>108</v>
      </c>
      <c r="D5" s="15" t="s">
        <v>109</v>
      </c>
      <c r="E5" s="14">
        <v>58000</v>
      </c>
      <c r="F5" s="14">
        <v>2017</v>
      </c>
    </row>
    <row r="6" spans="1:14" ht="29" x14ac:dyDescent="0.35">
      <c r="A6" s="9" t="s">
        <v>110</v>
      </c>
      <c r="B6" s="13" t="s">
        <v>111</v>
      </c>
      <c r="C6" s="13" t="s">
        <v>112</v>
      </c>
      <c r="D6" s="13" t="s">
        <v>97</v>
      </c>
      <c r="E6" s="9">
        <v>48000</v>
      </c>
      <c r="F6" s="9">
        <v>2021</v>
      </c>
      <c r="J6" s="23" t="s">
        <v>122</v>
      </c>
      <c r="M6" s="23" t="s">
        <v>126</v>
      </c>
    </row>
    <row r="7" spans="1:14" ht="29" x14ac:dyDescent="0.35">
      <c r="A7" s="14" t="s">
        <v>113</v>
      </c>
      <c r="B7" s="15" t="s">
        <v>114</v>
      </c>
      <c r="C7" s="15" t="s">
        <v>104</v>
      </c>
      <c r="D7" s="15" t="s">
        <v>115</v>
      </c>
      <c r="E7" s="14">
        <v>62000</v>
      </c>
      <c r="F7" s="14">
        <v>2019</v>
      </c>
      <c r="J7" s="18" t="s">
        <v>90</v>
      </c>
      <c r="K7" s="19" t="s">
        <v>91</v>
      </c>
      <c r="M7" s="19" t="s">
        <v>90</v>
      </c>
      <c r="N7" s="19" t="s">
        <v>93</v>
      </c>
    </row>
    <row r="8" spans="1:14" ht="29" x14ac:dyDescent="0.35">
      <c r="A8" s="9" t="s">
        <v>116</v>
      </c>
      <c r="B8" s="13" t="s">
        <v>117</v>
      </c>
      <c r="C8" s="13" t="s">
        <v>96</v>
      </c>
      <c r="D8" s="13" t="s">
        <v>118</v>
      </c>
      <c r="E8" s="9">
        <v>47000</v>
      </c>
      <c r="F8" s="9">
        <v>2020</v>
      </c>
      <c r="J8" s="20" t="s">
        <v>102</v>
      </c>
      <c r="K8" s="22" t="str">
        <f>VLOOKUP(J8,A1:F9,3,0)</f>
        <v>IT</v>
      </c>
      <c r="M8" s="25" t="s">
        <v>127</v>
      </c>
      <c r="N8" s="22" t="str">
        <f>IFERROR(VLOOKUP(M8,A1:F9,6,0),"Not Found")</f>
        <v>Not Found</v>
      </c>
    </row>
    <row r="9" spans="1:14" ht="29" x14ac:dyDescent="0.35">
      <c r="A9" s="14" t="s">
        <v>119</v>
      </c>
      <c r="B9" s="15" t="s">
        <v>120</v>
      </c>
      <c r="C9" s="15" t="s">
        <v>100</v>
      </c>
      <c r="D9" s="15" t="s">
        <v>105</v>
      </c>
      <c r="E9" s="14">
        <v>54000</v>
      </c>
      <c r="F9" s="14">
        <v>2016</v>
      </c>
    </row>
    <row r="10" spans="1:14" x14ac:dyDescent="0.35">
      <c r="J10" s="24" t="s">
        <v>124</v>
      </c>
      <c r="M10" s="21" t="s">
        <v>128</v>
      </c>
    </row>
    <row r="11" spans="1:14" x14ac:dyDescent="0.35">
      <c r="J11" s="19" t="s">
        <v>67</v>
      </c>
      <c r="K11" s="18" t="s">
        <v>60</v>
      </c>
      <c r="M11" s="18" t="s">
        <v>90</v>
      </c>
      <c r="N11" s="18" t="s">
        <v>93</v>
      </c>
    </row>
    <row r="12" spans="1:14" x14ac:dyDescent="0.35">
      <c r="J12" s="15" t="s">
        <v>107</v>
      </c>
      <c r="K12">
        <f>VLOOKUP(J12,B1:F9,4,0)</f>
        <v>58000</v>
      </c>
      <c r="M12" s="11" t="s">
        <v>94</v>
      </c>
      <c r="N12" s="22">
        <f>VLOOKUP(M12,A1:F9,6,0)</f>
        <v>2019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D59E-D7F0-4AFB-9FCE-A2ED204A1A12}">
  <dimension ref="A1:J11"/>
  <sheetViews>
    <sheetView zoomScale="116" workbookViewId="0">
      <selection activeCell="G12" sqref="G12"/>
    </sheetView>
  </sheetViews>
  <sheetFormatPr defaultRowHeight="14.5" x14ac:dyDescent="0.35"/>
  <cols>
    <col min="1" max="1" width="9.36328125" customWidth="1"/>
    <col min="9" max="9" width="11.81640625" customWidth="1"/>
  </cols>
  <sheetData>
    <row r="1" spans="1:10" ht="23" x14ac:dyDescent="0.35">
      <c r="A1" s="26" t="s">
        <v>91</v>
      </c>
      <c r="B1" s="27" t="s">
        <v>96</v>
      </c>
      <c r="C1" s="27" t="s">
        <v>100</v>
      </c>
      <c r="D1" s="27" t="s">
        <v>104</v>
      </c>
      <c r="E1" s="27" t="s">
        <v>108</v>
      </c>
      <c r="F1" s="27" t="s">
        <v>112</v>
      </c>
    </row>
    <row r="2" spans="1:10" x14ac:dyDescent="0.35">
      <c r="A2" s="28" t="s">
        <v>121</v>
      </c>
      <c r="B2" s="29">
        <v>0.1</v>
      </c>
      <c r="C2" s="29">
        <v>0.08</v>
      </c>
      <c r="D2" s="29">
        <v>0.12</v>
      </c>
      <c r="E2" s="29">
        <v>0.15</v>
      </c>
      <c r="F2" s="29">
        <v>0.09</v>
      </c>
      <c r="I2" s="21" t="s">
        <v>129</v>
      </c>
    </row>
    <row r="3" spans="1:10" ht="23" x14ac:dyDescent="0.35">
      <c r="I3" s="26" t="s">
        <v>91</v>
      </c>
      <c r="J3" s="27" t="s">
        <v>104</v>
      </c>
    </row>
    <row r="4" spans="1:10" x14ac:dyDescent="0.35">
      <c r="I4" s="28" t="s">
        <v>121</v>
      </c>
      <c r="J4" s="30">
        <f>HLOOKUP(J3,A1:F2,ROWS(I3:I4),0)</f>
        <v>0.12</v>
      </c>
    </row>
    <row r="6" spans="1:10" x14ac:dyDescent="0.35">
      <c r="I6" s="21" t="s">
        <v>130</v>
      </c>
    </row>
    <row r="7" spans="1:10" x14ac:dyDescent="0.35">
      <c r="I7" s="26" t="s">
        <v>91</v>
      </c>
      <c r="J7" s="27" t="s">
        <v>108</v>
      </c>
    </row>
    <row r="8" spans="1:10" x14ac:dyDescent="0.35">
      <c r="I8" s="28" t="s">
        <v>121</v>
      </c>
      <c r="J8" s="30">
        <f>HLOOKUP(J7,A1:F2,ROWS(I7:I8),0)</f>
        <v>0.15</v>
      </c>
    </row>
    <row r="10" spans="1:10" x14ac:dyDescent="0.35">
      <c r="I10" t="s">
        <v>131</v>
      </c>
    </row>
    <row r="11" spans="1:10" ht="29" x14ac:dyDescent="0.35">
      <c r="I11" s="10" t="s">
        <v>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4743-D249-4FED-823C-318506ADA8F5}">
  <dimension ref="A1:C6"/>
  <sheetViews>
    <sheetView workbookViewId="0">
      <selection activeCell="H13" sqref="H13"/>
    </sheetView>
  </sheetViews>
  <sheetFormatPr defaultRowHeight="14.5" x14ac:dyDescent="0.35"/>
  <cols>
    <col min="1" max="1" width="10.08984375" customWidth="1"/>
    <col min="3" max="3" width="11.90625" customWidth="1"/>
  </cols>
  <sheetData>
    <row r="1" spans="1:3" x14ac:dyDescent="0.35">
      <c r="A1" s="16" t="s">
        <v>90</v>
      </c>
      <c r="B1" s="16" t="s">
        <v>67</v>
      </c>
      <c r="C1" t="s">
        <v>91</v>
      </c>
    </row>
    <row r="2" spans="1:3" x14ac:dyDescent="0.35">
      <c r="A2" s="17" t="s">
        <v>102</v>
      </c>
      <c r="B2" s="17" t="str">
        <f>VLOOKUP(A2,Sheet14!A1:F9,2,0)</f>
        <v>Rohit Verma</v>
      </c>
      <c r="C2" s="17" t="str">
        <f>VLOOKUP(B2,Sheet14!B1:G9,2,0)</f>
        <v>IT</v>
      </c>
    </row>
    <row r="3" spans="1:3" x14ac:dyDescent="0.35">
      <c r="B3" s="17"/>
    </row>
    <row r="4" spans="1:3" x14ac:dyDescent="0.35">
      <c r="B4" s="17"/>
    </row>
    <row r="5" spans="1:3" x14ac:dyDescent="0.35">
      <c r="B5" s="17"/>
    </row>
    <row r="6" spans="1:3" x14ac:dyDescent="0.35">
      <c r="B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Sheet7</vt:lpstr>
      <vt:lpstr>Sheet6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ASDC50</dc:creator>
  <cp:lastModifiedBy>ASDC50</cp:lastModifiedBy>
  <dcterms:created xsi:type="dcterms:W3CDTF">2026-06-24T08:31:31Z</dcterms:created>
  <dcterms:modified xsi:type="dcterms:W3CDTF">2026-06-30T09:49:18Z</dcterms:modified>
</cp:coreProperties>
</file>